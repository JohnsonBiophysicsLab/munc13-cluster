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osikao/Library/CloudStorage/Dropbox/munc13/data/"/>
    </mc:Choice>
  </mc:AlternateContent>
  <xr:revisionPtr revIDLastSave="0" documentId="13_ncr:1_{664125E9-90C0-B247-83CB-4B7256E1F74A}" xr6:coauthVersionLast="47" xr6:coauthVersionMax="47" xr10:uidLastSave="{00000000-0000-0000-0000-000000000000}"/>
  <bookViews>
    <workbookView xWindow="0" yWindow="500" windowWidth="28800" windowHeight="16860" xr2:uid="{FB122F79-0AAB-46C3-A08A-4DBE833611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C24" i="1"/>
  <c r="D24" i="1"/>
  <c r="E24" i="1"/>
  <c r="F24" i="1"/>
  <c r="A24" i="1"/>
  <c r="B23" i="1"/>
  <c r="C23" i="1"/>
  <c r="D23" i="1"/>
  <c r="E23" i="1"/>
  <c r="F23" i="1"/>
  <c r="A23" i="1"/>
</calcChain>
</file>

<file path=xl/sharedStrings.xml><?xml version="1.0" encoding="utf-8"?>
<sst xmlns="http://schemas.openxmlformats.org/spreadsheetml/2006/main" count="7" uniqueCount="7">
  <si>
    <t>Cluster Density Munc13-1 WT mEOS2</t>
  </si>
  <si>
    <t>NO STIM</t>
  </si>
  <si>
    <r>
      <t>STIM (BaCl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</si>
  <si>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NASTIC Cluster Analysis (Fig 2C&amp;E)</t>
  </si>
  <si>
    <t>NASTIC Cluster Analysis (Fig 2F&amp;G)</t>
  </si>
  <si>
    <t>EGTA</t>
  </si>
  <si>
    <r>
      <t>High K</t>
    </r>
    <r>
      <rPr>
        <b/>
        <vertAlign val="superscript"/>
        <sz val="11"/>
        <color theme="1"/>
        <rFont val="Aptos Narrow"/>
        <family val="2"/>
        <scheme val="minor"/>
      </rPr>
      <t>+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</si>
</sst>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0" fillId="0" borderId="0" xfId="0" quotePrefix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6CA1A-1665-48AA-8129-C1623092B0B5}">
  <dimension ref="A1:J24"/>
  <sheetViews>
    <sheetView tabSelected="1" workbookViewId="0">
      <selection activeCell="A25" sqref="A25"/>
    </sheetView>
  </sheetViews>
  <sheetFormatPr baseColWidth="10" defaultColWidth="8.83203125" defaultRowHeight="15" x14ac:dyDescent="0.2"/>
  <cols>
    <col min="1" max="1" width="23.5" customWidth="1"/>
    <col min="2" max="2" width="27.33203125" customWidth="1"/>
    <col min="5" max="6" width="22.83203125" customWidth="1"/>
    <col min="9" max="10" width="23.5" customWidth="1"/>
  </cols>
  <sheetData>
    <row r="1" spans="1:10" ht="27" x14ac:dyDescent="0.35">
      <c r="A1" s="1" t="s">
        <v>0</v>
      </c>
    </row>
    <row r="2" spans="1:10" ht="28" thickBot="1" x14ac:dyDescent="0.4">
      <c r="A2" s="1"/>
    </row>
    <row r="3" spans="1:10" x14ac:dyDescent="0.2">
      <c r="A3" s="7" t="s">
        <v>3</v>
      </c>
      <c r="B3" s="8"/>
      <c r="E3" s="7" t="s">
        <v>4</v>
      </c>
      <c r="F3" s="8"/>
      <c r="I3" s="6"/>
    </row>
    <row r="4" spans="1:10" ht="19" thickBot="1" x14ac:dyDescent="0.3">
      <c r="A4" s="3" t="s">
        <v>1</v>
      </c>
      <c r="B4" s="4" t="s">
        <v>2</v>
      </c>
      <c r="E4" s="3" t="s">
        <v>5</v>
      </c>
      <c r="F4" s="4" t="s">
        <v>6</v>
      </c>
      <c r="I4" s="5"/>
      <c r="J4" s="5"/>
    </row>
    <row r="5" spans="1:10" x14ac:dyDescent="0.2">
      <c r="A5" s="2">
        <v>0.54314704091445698</v>
      </c>
      <c r="B5" s="2">
        <v>0.91797904324457902</v>
      </c>
      <c r="E5" s="2">
        <v>0.67119236446956798</v>
      </c>
      <c r="F5" s="2">
        <v>1.59244224202989</v>
      </c>
    </row>
    <row r="6" spans="1:10" x14ac:dyDescent="0.2">
      <c r="A6" s="2">
        <v>0.97896543030543703</v>
      </c>
      <c r="B6" s="2">
        <v>2.3635939230416398</v>
      </c>
      <c r="E6" s="2">
        <v>0.18770571848496401</v>
      </c>
      <c r="F6" s="2">
        <v>1.3080122940621299</v>
      </c>
    </row>
    <row r="7" spans="1:10" x14ac:dyDescent="0.2">
      <c r="A7" s="2">
        <v>0.285553141948165</v>
      </c>
      <c r="B7" s="2">
        <v>1.0898439559695801</v>
      </c>
      <c r="E7" s="2">
        <v>0.63652463666329095</v>
      </c>
      <c r="F7" s="2">
        <v>1.2387441322927999</v>
      </c>
    </row>
    <row r="8" spans="1:10" x14ac:dyDescent="0.2">
      <c r="A8" s="2">
        <v>1.0356264968598099</v>
      </c>
      <c r="B8" s="2">
        <v>2.8379970712524498</v>
      </c>
      <c r="E8" s="2">
        <v>0.74117968767694997</v>
      </c>
      <c r="F8" s="2">
        <v>0.71013651313322601</v>
      </c>
    </row>
    <row r="9" spans="1:10" x14ac:dyDescent="0.2">
      <c r="A9" s="2">
        <v>0.55279407385198198</v>
      </c>
      <c r="B9" s="2">
        <v>1.3527524948377401</v>
      </c>
      <c r="E9" s="2">
        <v>1.1288527270156501</v>
      </c>
      <c r="F9" s="2">
        <v>1.1431334233419299</v>
      </c>
    </row>
    <row r="10" spans="1:10" x14ac:dyDescent="0.2">
      <c r="A10" s="2">
        <v>0.98540238901626698</v>
      </c>
      <c r="B10">
        <v>2.1305712615331198</v>
      </c>
      <c r="E10" s="2">
        <v>1.32404942347915</v>
      </c>
      <c r="F10" s="2">
        <v>1.43934497412554</v>
      </c>
    </row>
    <row r="11" spans="1:10" x14ac:dyDescent="0.2">
      <c r="A11" s="2">
        <v>0.64057303022307199</v>
      </c>
      <c r="B11" s="2">
        <v>1.40312267204588</v>
      </c>
      <c r="E11" s="2">
        <v>0.342810216534432</v>
      </c>
      <c r="F11" s="2">
        <v>0.54790826128562298</v>
      </c>
    </row>
    <row r="12" spans="1:10" x14ac:dyDescent="0.2">
      <c r="A12" s="2">
        <v>1.4506765902910399</v>
      </c>
      <c r="B12" s="2">
        <v>1.7985266028674201</v>
      </c>
      <c r="E12" s="2">
        <v>1.5807518971068499</v>
      </c>
      <c r="F12" s="2">
        <v>2.0620367775081299</v>
      </c>
    </row>
    <row r="13" spans="1:10" x14ac:dyDescent="0.2">
      <c r="A13" s="2">
        <v>1.8221340131003601</v>
      </c>
      <c r="B13" s="2">
        <v>0.58212282559635098</v>
      </c>
      <c r="E13" s="2">
        <v>0.88939288142695505</v>
      </c>
      <c r="F13" s="2">
        <v>0.80068006538594605</v>
      </c>
    </row>
    <row r="14" spans="1:10" x14ac:dyDescent="0.2">
      <c r="A14" s="2">
        <v>0.40843106848055399</v>
      </c>
      <c r="B14" s="2">
        <v>1.9295328982198501</v>
      </c>
      <c r="E14" s="2">
        <v>0.41082451894238098</v>
      </c>
      <c r="F14" s="2">
        <v>1.36852645145104</v>
      </c>
    </row>
    <row r="15" spans="1:10" x14ac:dyDescent="0.2">
      <c r="A15" s="2">
        <v>0.325553341291549</v>
      </c>
      <c r="B15" s="2">
        <v>1.0735190891599</v>
      </c>
      <c r="E15" s="2">
        <v>0.47688712272948097</v>
      </c>
      <c r="F15" s="2">
        <v>1.5107326639241601</v>
      </c>
    </row>
    <row r="16" spans="1:10" x14ac:dyDescent="0.2">
      <c r="A16" s="2">
        <v>0.524558332192399</v>
      </c>
      <c r="B16" s="2">
        <v>0.30077039370883601</v>
      </c>
      <c r="E16" s="2">
        <v>1.0878420664291999</v>
      </c>
      <c r="F16" s="2">
        <v>1.1027082903967</v>
      </c>
    </row>
    <row r="17" spans="1:6" x14ac:dyDescent="0.2">
      <c r="A17">
        <v>0.61131145634611705</v>
      </c>
      <c r="B17" s="2">
        <v>1.57536296912883</v>
      </c>
      <c r="E17" s="2">
        <v>1.6432765929387301</v>
      </c>
      <c r="F17" s="2">
        <v>1.2606094216066701</v>
      </c>
    </row>
    <row r="18" spans="1:6" x14ac:dyDescent="0.2">
      <c r="A18" s="2">
        <v>0.74818241302058097</v>
      </c>
      <c r="B18" s="2">
        <v>0.59819029738978202</v>
      </c>
      <c r="E18" s="2">
        <v>1.00630527078439</v>
      </c>
    </row>
    <row r="19" spans="1:6" x14ac:dyDescent="0.2">
      <c r="A19" s="2">
        <v>0.595743115809932</v>
      </c>
      <c r="B19" s="2">
        <v>1.16555839166152</v>
      </c>
      <c r="E19" s="2">
        <v>0.98883008183361298</v>
      </c>
    </row>
    <row r="20" spans="1:6" x14ac:dyDescent="0.2">
      <c r="A20" s="2">
        <v>1.2554865722480799</v>
      </c>
      <c r="B20" s="2">
        <v>0.310611272862021</v>
      </c>
      <c r="E20" s="2">
        <v>1.3953686397812499</v>
      </c>
    </row>
    <row r="21" spans="1:6" x14ac:dyDescent="0.2">
      <c r="A21" s="2">
        <v>0.44438857031076801</v>
      </c>
      <c r="B21" s="2">
        <v>1.0285168103223901</v>
      </c>
      <c r="E21" s="2">
        <v>1.1565316738075899</v>
      </c>
    </row>
    <row r="23" spans="1:6" x14ac:dyDescent="0.2">
      <c r="A23">
        <f>AVERAGE(A5:A21)</f>
        <v>0.77697218095356302</v>
      </c>
      <c r="B23">
        <f t="shared" ref="B23:F23" si="0">AVERAGE(B5:B21)</f>
        <v>1.3210924689906991</v>
      </c>
      <c r="C23" t="e">
        <f t="shared" si="0"/>
        <v>#DIV/0!</v>
      </c>
      <c r="D23" t="e">
        <f t="shared" si="0"/>
        <v>#DIV/0!</v>
      </c>
      <c r="E23">
        <f t="shared" si="0"/>
        <v>0.92166620706496738</v>
      </c>
      <c r="F23">
        <f t="shared" si="0"/>
        <v>1.2373088854264449</v>
      </c>
    </row>
    <row r="24" spans="1:6" x14ac:dyDescent="0.2">
      <c r="A24">
        <f>1/A23</f>
        <v>1.2870473673493936</v>
      </c>
      <c r="B24">
        <f t="shared" ref="B24:F24" si="1">1/B23</f>
        <v>0.75694928513519544</v>
      </c>
      <c r="C24" t="e">
        <f t="shared" si="1"/>
        <v>#DIV/0!</v>
      </c>
      <c r="D24" t="e">
        <f t="shared" si="1"/>
        <v>#DIV/0!</v>
      </c>
      <c r="E24">
        <f t="shared" si="1"/>
        <v>1.0849914994545427</v>
      </c>
      <c r="F24">
        <f t="shared" si="1"/>
        <v>0.80820562413996144</v>
      </c>
    </row>
  </sheetData>
  <mergeCells count="2">
    <mergeCell ref="A3:B3"/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Adekunle Bademosi</dc:creator>
  <cp:lastModifiedBy>sikao guo</cp:lastModifiedBy>
  <dcterms:created xsi:type="dcterms:W3CDTF">2024-05-29T00:36:26Z</dcterms:created>
  <dcterms:modified xsi:type="dcterms:W3CDTF">2024-06-03T19:17:19Z</dcterms:modified>
</cp:coreProperties>
</file>